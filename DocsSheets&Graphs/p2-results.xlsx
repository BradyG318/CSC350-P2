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uinnipiacuniversity-my.sharepoint.com/personal/ssahoo1_quinnipiac_edu/Documents/Desktop/Project 3/"/>
    </mc:Choice>
  </mc:AlternateContent>
  <xr:revisionPtr revIDLastSave="144" documentId="8_{6D7F0FA9-3B6F-4247-966F-E9988896F06E}" xr6:coauthVersionLast="47" xr6:coauthVersionMax="47" xr10:uidLastSave="{9D367085-7A17-4E5D-A537-6C984D5CFEEC}"/>
  <bookViews>
    <workbookView xWindow="-108" yWindow="-108" windowWidth="23256" windowHeight="13896" xr2:uid="{FF08A997-3A99-4B2C-BEDC-14A11E32874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F3" i="1"/>
</calcChain>
</file>

<file path=xl/sharedStrings.xml><?xml version="1.0" encoding="utf-8"?>
<sst xmlns="http://schemas.openxmlformats.org/spreadsheetml/2006/main" count="40" uniqueCount="40">
  <si>
    <t>EXERCISE 1</t>
  </si>
  <si>
    <t>EXERCISE 2</t>
  </si>
  <si>
    <t>EXERCISE 3</t>
  </si>
  <si>
    <t>Data File</t>
  </si>
  <si>
    <t>Run #1 WCSS</t>
  </si>
  <si>
    <t>Run #2 WCSS</t>
  </si>
  <si>
    <t>Run #3 WCSS</t>
  </si>
  <si>
    <t>Median</t>
  </si>
  <si>
    <t>Minimum</t>
  </si>
  <si>
    <t>min WCSS</t>
  </si>
  <si>
    <t>Run #1 k</t>
  </si>
  <si>
    <t>Run #2 k</t>
  </si>
  <si>
    <t>Run #3 k</t>
  </si>
  <si>
    <t>Run #4 k</t>
  </si>
  <si>
    <t>Run #5 k</t>
  </si>
  <si>
    <t>Run #6 k</t>
  </si>
  <si>
    <t>Run #7 k</t>
  </si>
  <si>
    <t>Run #8 k</t>
  </si>
  <si>
    <t>bullseye2</t>
  </si>
  <si>
    <t>diffdensity2</t>
  </si>
  <si>
    <t>diffstddev2</t>
  </si>
  <si>
    <t>easygaussian1</t>
  </si>
  <si>
    <t>easygaussian2</t>
  </si>
  <si>
    <t>easygaussian3</t>
  </si>
  <si>
    <t>easygaussian4</t>
  </si>
  <si>
    <t>easygaussian5</t>
  </si>
  <si>
    <t>easygaussian6</t>
  </si>
  <si>
    <t>easygaussian7</t>
  </si>
  <si>
    <t>easygaussian8</t>
  </si>
  <si>
    <t>easygaussian9</t>
  </si>
  <si>
    <t>hardgaussian1</t>
  </si>
  <si>
    <t>hardgaussian2</t>
  </si>
  <si>
    <t>hardgaussian3</t>
  </si>
  <si>
    <t>hardgaussian4</t>
  </si>
  <si>
    <t>hardgaussian5</t>
  </si>
  <si>
    <t>hardgaussian6</t>
  </si>
  <si>
    <t>hardgaussian7</t>
  </si>
  <si>
    <t>hardgaussian8</t>
  </si>
  <si>
    <t>hardgaussian9</t>
  </si>
  <si>
    <t>stretched2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</si>
</sst>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C8089-43CC-4DB7-89C7-70525ACCD8EA}">
  <dimension ref="A1:Q24"/>
  <sheetViews>
    <sheetView tabSelected="1" topLeftCell="A6" workbookViewId="0">
      <selection activeCell="H24" sqref="H24"/>
    </sheetView>
  </sheetViews>
  <sheetFormatPr defaultRowHeight="14.45"/>
  <cols>
    <col min="1" max="1" width="13" bestFit="1" customWidth="1"/>
    <col min="2" max="4" width="12.5703125" style="2" bestFit="1" customWidth="1"/>
    <col min="5" max="7" width="8.7109375" style="2"/>
    <col min="8" max="8" width="10" style="4" bestFit="1" customWidth="1"/>
    <col min="9" max="17" width="8.7109375" style="2"/>
  </cols>
  <sheetData>
    <row r="1" spans="1:17">
      <c r="B1" s="6" t="s">
        <v>0</v>
      </c>
      <c r="C1" s="6"/>
      <c r="D1" s="6"/>
      <c r="E1" s="6"/>
      <c r="F1" s="6"/>
      <c r="H1" s="5" t="s">
        <v>1</v>
      </c>
      <c r="J1" s="6" t="s">
        <v>2</v>
      </c>
      <c r="K1" s="6"/>
      <c r="L1" s="6"/>
      <c r="M1" s="6"/>
      <c r="N1" s="6"/>
      <c r="O1" s="6"/>
      <c r="P1" s="6"/>
      <c r="Q1" s="6"/>
    </row>
    <row r="2" spans="1:17">
      <c r="A2" s="1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H2" s="5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</row>
    <row r="3" spans="1:17" ht="15">
      <c r="A3" t="s">
        <v>18</v>
      </c>
      <c r="B3" s="2">
        <v>23.431001859999999</v>
      </c>
      <c r="C3" s="2">
        <v>22.384620179999999</v>
      </c>
      <c r="D3" s="2">
        <v>22.541966330000001</v>
      </c>
      <c r="E3" s="2">
        <f>MEDIAN(B3:D3)</f>
        <v>22.541966330000001</v>
      </c>
      <c r="F3" s="2">
        <f>MIN(B3:D3)</f>
        <v>22.384620179999999</v>
      </c>
      <c r="H3" s="4">
        <v>22.667781342721199</v>
      </c>
      <c r="J3" s="2">
        <v>10</v>
      </c>
      <c r="K3" s="2">
        <v>8</v>
      </c>
      <c r="L3" s="2">
        <v>10</v>
      </c>
      <c r="M3" s="2">
        <v>9</v>
      </c>
      <c r="N3" s="2">
        <v>9</v>
      </c>
      <c r="O3" s="2">
        <v>9</v>
      </c>
      <c r="P3" s="2">
        <v>10</v>
      </c>
      <c r="Q3" s="2">
        <v>9</v>
      </c>
    </row>
    <row r="4" spans="1:17" ht="15">
      <c r="A4" t="s">
        <v>19</v>
      </c>
      <c r="B4" s="2">
        <v>9.7972494149999996</v>
      </c>
      <c r="C4" s="2">
        <v>9.7972494149999996</v>
      </c>
      <c r="D4" s="2">
        <v>9.7972494149999996</v>
      </c>
      <c r="E4" s="2">
        <f>MEDIAN(B4:D4)</f>
        <v>9.7972494149999996</v>
      </c>
      <c r="F4" s="2">
        <f>MIN(B4:D4)</f>
        <v>9.7972494149999996</v>
      </c>
      <c r="H4" s="4">
        <v>9.7972494149063394</v>
      </c>
      <c r="J4" s="2">
        <v>2</v>
      </c>
      <c r="K4" s="2">
        <v>2</v>
      </c>
      <c r="L4" s="2">
        <v>2</v>
      </c>
      <c r="M4" s="2">
        <v>2</v>
      </c>
      <c r="N4" s="2">
        <v>2</v>
      </c>
      <c r="O4" s="2">
        <v>2</v>
      </c>
      <c r="P4" s="2">
        <v>2</v>
      </c>
      <c r="Q4" s="2">
        <v>2</v>
      </c>
    </row>
    <row r="5" spans="1:17" ht="15">
      <c r="A5" t="s">
        <v>20</v>
      </c>
      <c r="B5" s="2">
        <v>1.12140865</v>
      </c>
      <c r="C5" s="2">
        <v>1.12140865</v>
      </c>
      <c r="D5" s="2">
        <v>1.12140865</v>
      </c>
      <c r="E5" s="2">
        <f t="shared" ref="E5:E24" si="0">MEDIAN(B5:D5)</f>
        <v>1.12140865</v>
      </c>
      <c r="F5" s="2">
        <f t="shared" ref="F5:F24" si="1">MIN(B5:D5)</f>
        <v>1.12140865</v>
      </c>
      <c r="H5" s="4">
        <v>1.12140865001139</v>
      </c>
      <c r="J5" s="2">
        <v>2</v>
      </c>
      <c r="K5" s="2">
        <v>2</v>
      </c>
      <c r="L5" s="2">
        <v>2</v>
      </c>
      <c r="M5" s="2">
        <v>2</v>
      </c>
      <c r="N5" s="2">
        <v>2</v>
      </c>
      <c r="O5" s="2">
        <v>2</v>
      </c>
      <c r="P5" s="2">
        <v>2</v>
      </c>
      <c r="Q5" s="2">
        <v>2</v>
      </c>
    </row>
    <row r="6" spans="1:17" ht="15">
      <c r="A6" t="s">
        <v>21</v>
      </c>
      <c r="B6" s="2">
        <v>0.50613459299999997</v>
      </c>
      <c r="C6" s="2">
        <v>0.50613459299999997</v>
      </c>
      <c r="D6" s="2">
        <v>0.50613459299999997</v>
      </c>
      <c r="E6" s="2">
        <f t="shared" si="0"/>
        <v>0.50613459299999997</v>
      </c>
      <c r="F6" s="2">
        <f t="shared" si="1"/>
        <v>0.50613459299999997</v>
      </c>
      <c r="H6" s="4">
        <v>0.50613459342410205</v>
      </c>
      <c r="J6" s="2">
        <v>2</v>
      </c>
      <c r="K6" s="2">
        <v>2</v>
      </c>
      <c r="L6" s="2">
        <v>2</v>
      </c>
      <c r="M6" s="2">
        <v>2</v>
      </c>
      <c r="N6" s="2">
        <v>2</v>
      </c>
      <c r="O6" s="2">
        <v>2</v>
      </c>
      <c r="P6" s="2">
        <v>2</v>
      </c>
      <c r="Q6" s="2">
        <v>2</v>
      </c>
    </row>
    <row r="7" spans="1:17" ht="15">
      <c r="A7" t="s">
        <v>22</v>
      </c>
      <c r="B7" s="2">
        <v>0.55971682899999997</v>
      </c>
      <c r="C7" s="2">
        <v>0.55971682899999997</v>
      </c>
      <c r="D7" s="2">
        <v>0.55971682899999997</v>
      </c>
      <c r="E7" s="2">
        <f t="shared" si="0"/>
        <v>0.55971682899999997</v>
      </c>
      <c r="F7" s="2">
        <f t="shared" si="1"/>
        <v>0.55971682899999997</v>
      </c>
      <c r="H7" s="4">
        <v>0.55971682890649099</v>
      </c>
      <c r="J7" s="2">
        <v>2</v>
      </c>
      <c r="K7" s="2">
        <v>2</v>
      </c>
      <c r="L7" s="2">
        <v>2</v>
      </c>
      <c r="M7" s="2">
        <v>2</v>
      </c>
      <c r="N7" s="2">
        <v>2</v>
      </c>
      <c r="O7" s="2">
        <v>2</v>
      </c>
      <c r="P7" s="2">
        <v>2</v>
      </c>
      <c r="Q7" s="2">
        <v>2</v>
      </c>
    </row>
    <row r="8" spans="1:17" ht="15">
      <c r="A8" t="s">
        <v>23</v>
      </c>
      <c r="B8" s="2">
        <v>6.3127071429999999</v>
      </c>
      <c r="C8" s="2">
        <v>0.51026753999999996</v>
      </c>
      <c r="D8" s="2">
        <v>0.51026753999999996</v>
      </c>
      <c r="E8" s="2">
        <f t="shared" si="0"/>
        <v>0.51026753999999996</v>
      </c>
      <c r="F8" s="2">
        <f t="shared" si="1"/>
        <v>0.51026753999999996</v>
      </c>
      <c r="H8" s="4">
        <v>0.51026753969379501</v>
      </c>
      <c r="J8" s="2">
        <v>3</v>
      </c>
      <c r="K8" s="2">
        <v>3</v>
      </c>
      <c r="L8" s="2">
        <v>3</v>
      </c>
      <c r="M8" s="2">
        <v>3</v>
      </c>
      <c r="N8" s="2">
        <v>3</v>
      </c>
      <c r="O8" s="2">
        <v>3</v>
      </c>
      <c r="P8" s="2">
        <v>3</v>
      </c>
      <c r="Q8" s="2">
        <v>3</v>
      </c>
    </row>
    <row r="9" spans="1:17" ht="15">
      <c r="A9" t="s">
        <v>24</v>
      </c>
      <c r="B9" s="2">
        <v>0.47006206499999997</v>
      </c>
      <c r="C9" s="2">
        <v>4.651798372</v>
      </c>
      <c r="D9" s="2">
        <v>0.47006206499999997</v>
      </c>
      <c r="E9" s="2">
        <f t="shared" si="0"/>
        <v>0.47006206499999997</v>
      </c>
      <c r="F9" s="2">
        <f t="shared" si="1"/>
        <v>0.47006206499999997</v>
      </c>
      <c r="H9" s="4">
        <v>0.47006206486089502</v>
      </c>
      <c r="J9" s="2">
        <v>4</v>
      </c>
      <c r="K9" s="2">
        <v>4</v>
      </c>
      <c r="L9" s="2">
        <v>4</v>
      </c>
      <c r="M9" s="2">
        <v>4</v>
      </c>
      <c r="N9" s="2">
        <v>4</v>
      </c>
      <c r="O9" s="2">
        <v>4</v>
      </c>
      <c r="P9" s="2">
        <v>4</v>
      </c>
      <c r="Q9" s="2">
        <v>4</v>
      </c>
    </row>
    <row r="10" spans="1:17" ht="15">
      <c r="A10" t="s">
        <v>25</v>
      </c>
      <c r="B10" s="2">
        <v>0.51057188200000003</v>
      </c>
      <c r="C10" s="2">
        <v>2.240101455</v>
      </c>
      <c r="D10" s="2">
        <v>2.3925620369999998</v>
      </c>
      <c r="E10" s="2">
        <f t="shared" si="0"/>
        <v>2.240101455</v>
      </c>
      <c r="F10" s="2">
        <f t="shared" si="1"/>
        <v>0.51057188200000003</v>
      </c>
      <c r="H10" s="4">
        <v>2.2398358526072499</v>
      </c>
      <c r="J10" s="2">
        <v>5</v>
      </c>
      <c r="K10" s="2">
        <v>5</v>
      </c>
      <c r="L10" s="2">
        <v>5</v>
      </c>
      <c r="M10" s="2">
        <v>5</v>
      </c>
      <c r="N10" s="2">
        <v>5</v>
      </c>
      <c r="O10" s="2">
        <v>5</v>
      </c>
      <c r="P10" s="2">
        <v>5</v>
      </c>
      <c r="Q10" s="2">
        <v>5</v>
      </c>
    </row>
    <row r="11" spans="1:17" ht="15">
      <c r="A11" t="s">
        <v>26</v>
      </c>
      <c r="B11" s="2">
        <v>1.457665523</v>
      </c>
      <c r="C11" s="2">
        <v>0.46304061699999999</v>
      </c>
      <c r="D11" s="2">
        <v>0.46304061699999999</v>
      </c>
      <c r="E11" s="2">
        <f t="shared" si="0"/>
        <v>0.46304061699999999</v>
      </c>
      <c r="F11" s="2">
        <f t="shared" si="1"/>
        <v>0.46304061699999999</v>
      </c>
      <c r="H11" s="4">
        <v>1.4744137705993801</v>
      </c>
      <c r="J11" s="2">
        <v>6</v>
      </c>
      <c r="K11" s="2">
        <v>6</v>
      </c>
      <c r="L11" s="2">
        <v>6</v>
      </c>
      <c r="M11" s="2">
        <v>6</v>
      </c>
      <c r="N11" s="2">
        <v>6</v>
      </c>
      <c r="O11" s="2">
        <v>6</v>
      </c>
      <c r="P11" s="2">
        <v>6</v>
      </c>
      <c r="Q11" s="2">
        <v>6</v>
      </c>
    </row>
    <row r="12" spans="1:17" ht="15">
      <c r="A12" t="s">
        <v>27</v>
      </c>
      <c r="B12" s="2">
        <v>1.1425445599999999</v>
      </c>
      <c r="C12" s="2">
        <v>0.45367484800000002</v>
      </c>
      <c r="D12" s="2">
        <v>1.127864164</v>
      </c>
      <c r="E12" s="2">
        <f t="shared" si="0"/>
        <v>1.127864164</v>
      </c>
      <c r="F12" s="2">
        <f t="shared" si="1"/>
        <v>0.45367484800000002</v>
      </c>
      <c r="H12" s="4">
        <v>1.13459409381118</v>
      </c>
      <c r="J12" s="2">
        <v>7</v>
      </c>
      <c r="K12" s="2">
        <v>7</v>
      </c>
      <c r="L12" s="2">
        <v>7</v>
      </c>
      <c r="M12" s="2">
        <v>7</v>
      </c>
      <c r="N12" s="2">
        <v>7</v>
      </c>
      <c r="O12" s="2">
        <v>7</v>
      </c>
      <c r="P12" s="2">
        <v>7</v>
      </c>
      <c r="Q12" s="2">
        <v>7</v>
      </c>
    </row>
    <row r="13" spans="1:17" ht="15">
      <c r="A13" t="s">
        <v>28</v>
      </c>
      <c r="B13" s="2">
        <v>0.72521510600000005</v>
      </c>
      <c r="C13" s="2">
        <v>0.35351408400000001</v>
      </c>
      <c r="D13" s="2">
        <v>1.286750853</v>
      </c>
      <c r="E13" s="2">
        <f t="shared" si="0"/>
        <v>0.72521510600000005</v>
      </c>
      <c r="F13" s="2">
        <f t="shared" si="1"/>
        <v>0.35351408400000001</v>
      </c>
      <c r="H13" s="4">
        <v>0.35259721941288202</v>
      </c>
      <c r="J13" s="2">
        <v>8</v>
      </c>
      <c r="K13" s="2">
        <v>8</v>
      </c>
      <c r="L13" s="2">
        <v>8</v>
      </c>
      <c r="M13" s="2">
        <v>8</v>
      </c>
      <c r="N13" s="2">
        <v>8</v>
      </c>
      <c r="O13" s="2">
        <v>8</v>
      </c>
      <c r="P13" s="2">
        <v>8</v>
      </c>
      <c r="Q13" s="2">
        <v>8</v>
      </c>
    </row>
    <row r="14" spans="1:17" ht="15">
      <c r="A14" t="s">
        <v>29</v>
      </c>
      <c r="B14" s="2">
        <v>0.82487175499999998</v>
      </c>
      <c r="C14" s="2">
        <v>0.87492203800000001</v>
      </c>
      <c r="D14" s="2">
        <v>0.41331275899999997</v>
      </c>
      <c r="E14" s="2">
        <f t="shared" si="0"/>
        <v>0.82487175499999998</v>
      </c>
      <c r="F14" s="2">
        <f t="shared" si="1"/>
        <v>0.41331275899999997</v>
      </c>
      <c r="H14" s="4">
        <v>1.1993443747502801</v>
      </c>
      <c r="J14" s="2">
        <v>9</v>
      </c>
      <c r="K14" s="2">
        <v>9</v>
      </c>
      <c r="L14" s="2">
        <v>10</v>
      </c>
      <c r="M14" s="2">
        <v>9</v>
      </c>
      <c r="N14" s="2">
        <v>9</v>
      </c>
      <c r="O14" s="2">
        <v>9</v>
      </c>
      <c r="P14" s="2">
        <v>10</v>
      </c>
      <c r="Q14" s="2">
        <v>9</v>
      </c>
    </row>
    <row r="15" spans="1:17" ht="15">
      <c r="A15" t="s">
        <v>30</v>
      </c>
      <c r="B15" s="2">
        <v>0.46102009599999999</v>
      </c>
      <c r="C15" s="2">
        <v>0.46102009599999999</v>
      </c>
      <c r="D15" s="2">
        <v>0.46102009599999999</v>
      </c>
      <c r="E15" s="2">
        <f t="shared" si="0"/>
        <v>0.46102009599999999</v>
      </c>
      <c r="F15" s="2">
        <f t="shared" si="1"/>
        <v>0.46102009599999999</v>
      </c>
      <c r="H15" s="4">
        <v>0.46102009633985802</v>
      </c>
      <c r="J15" s="2">
        <v>3</v>
      </c>
      <c r="K15" s="2">
        <v>3</v>
      </c>
      <c r="L15" s="2">
        <v>3</v>
      </c>
      <c r="M15" s="2">
        <v>3</v>
      </c>
      <c r="N15" s="2">
        <v>3</v>
      </c>
      <c r="O15" s="2">
        <v>3</v>
      </c>
      <c r="P15" s="2">
        <v>3</v>
      </c>
      <c r="Q15" s="2">
        <v>3</v>
      </c>
    </row>
    <row r="16" spans="1:17" ht="15">
      <c r="A16" t="s">
        <v>31</v>
      </c>
      <c r="B16" s="2">
        <v>0.54217027299999998</v>
      </c>
      <c r="C16" s="2">
        <v>0.54217027299999998</v>
      </c>
      <c r="D16" s="2">
        <v>0.54217027299999998</v>
      </c>
      <c r="E16" s="2">
        <f t="shared" si="0"/>
        <v>0.54217027299999998</v>
      </c>
      <c r="F16" s="2">
        <f t="shared" si="1"/>
        <v>0.54217027299999998</v>
      </c>
      <c r="H16" s="4">
        <v>0.54217027264039896</v>
      </c>
      <c r="J16" s="2">
        <v>2</v>
      </c>
      <c r="K16" s="2">
        <v>2</v>
      </c>
      <c r="L16" s="2">
        <v>2</v>
      </c>
      <c r="M16" s="2">
        <v>2</v>
      </c>
      <c r="N16" s="2">
        <v>2</v>
      </c>
      <c r="O16" s="2">
        <v>2</v>
      </c>
      <c r="P16" s="2">
        <v>2</v>
      </c>
      <c r="Q16" s="2">
        <v>2</v>
      </c>
    </row>
    <row r="17" spans="1:17" ht="15">
      <c r="A17" t="s">
        <v>32</v>
      </c>
      <c r="B17" s="2">
        <v>0.429880227</v>
      </c>
      <c r="C17" s="2">
        <v>0.42719400899999999</v>
      </c>
      <c r="D17" s="2">
        <v>0.42719400899999999</v>
      </c>
      <c r="E17" s="2">
        <f t="shared" si="0"/>
        <v>0.42719400899999999</v>
      </c>
      <c r="F17" s="2">
        <f t="shared" si="1"/>
        <v>0.42719400899999999</v>
      </c>
      <c r="H17" s="4">
        <v>0.429880226663099</v>
      </c>
      <c r="J17" s="2">
        <v>3</v>
      </c>
      <c r="K17" s="2">
        <v>3</v>
      </c>
      <c r="L17" s="2">
        <v>3</v>
      </c>
      <c r="M17" s="2">
        <v>3</v>
      </c>
      <c r="N17" s="2">
        <v>3</v>
      </c>
      <c r="O17" s="2">
        <v>3</v>
      </c>
      <c r="P17" s="2">
        <v>3</v>
      </c>
      <c r="Q17" s="2">
        <v>3</v>
      </c>
    </row>
    <row r="18" spans="1:17" ht="15">
      <c r="A18" t="s">
        <v>33</v>
      </c>
      <c r="B18" s="2">
        <v>0.44039446799999998</v>
      </c>
      <c r="C18" s="2">
        <v>0.395915872</v>
      </c>
      <c r="D18" s="2">
        <v>0.39005731999999999</v>
      </c>
      <c r="E18" s="2">
        <f t="shared" si="0"/>
        <v>0.395915872</v>
      </c>
      <c r="F18" s="2">
        <f t="shared" si="1"/>
        <v>0.39005731999999999</v>
      </c>
      <c r="H18" s="4">
        <v>0.39005732033719298</v>
      </c>
      <c r="J18" s="2">
        <v>3</v>
      </c>
      <c r="K18" s="2">
        <v>3</v>
      </c>
      <c r="L18" s="2">
        <v>3</v>
      </c>
      <c r="M18" s="2">
        <v>3</v>
      </c>
      <c r="N18" s="2">
        <v>3</v>
      </c>
      <c r="O18" s="2">
        <v>3</v>
      </c>
      <c r="P18" s="2">
        <v>3</v>
      </c>
      <c r="Q18" s="2">
        <v>3</v>
      </c>
    </row>
    <row r="19" spans="1:17" ht="15">
      <c r="A19" t="s">
        <v>34</v>
      </c>
      <c r="B19" s="2">
        <v>0.578032875</v>
      </c>
      <c r="C19" s="2">
        <v>0.56609400600000004</v>
      </c>
      <c r="D19" s="2">
        <v>0.43096019600000002</v>
      </c>
      <c r="E19" s="2">
        <f t="shared" si="0"/>
        <v>0.56609400600000004</v>
      </c>
      <c r="F19" s="2">
        <f t="shared" si="1"/>
        <v>0.43096019600000002</v>
      </c>
      <c r="H19" s="4">
        <v>0.433549725761951</v>
      </c>
      <c r="J19" s="2">
        <v>5</v>
      </c>
      <c r="K19" s="2">
        <v>5</v>
      </c>
      <c r="L19" s="2">
        <v>5</v>
      </c>
      <c r="M19" s="2">
        <v>5</v>
      </c>
      <c r="N19" s="2">
        <v>5</v>
      </c>
      <c r="O19" s="2">
        <v>5</v>
      </c>
      <c r="P19" s="2">
        <v>5</v>
      </c>
      <c r="Q19" s="2">
        <v>5</v>
      </c>
    </row>
    <row r="20" spans="1:17" ht="15">
      <c r="A20" t="s">
        <v>35</v>
      </c>
      <c r="B20" s="2">
        <v>0.53455900899999997</v>
      </c>
      <c r="C20" s="2">
        <v>0.54960589800000004</v>
      </c>
      <c r="D20" s="2">
        <v>0.43472164000000002</v>
      </c>
      <c r="E20" s="2">
        <f t="shared" si="0"/>
        <v>0.53455900899999997</v>
      </c>
      <c r="F20" s="2">
        <f t="shared" si="1"/>
        <v>0.43472164000000002</v>
      </c>
      <c r="H20" s="4">
        <v>0.53455900934980005</v>
      </c>
      <c r="J20" s="2">
        <v>6</v>
      </c>
      <c r="K20" s="2">
        <v>6</v>
      </c>
      <c r="L20" s="2">
        <v>6</v>
      </c>
      <c r="M20" s="2">
        <v>6</v>
      </c>
      <c r="N20" s="2">
        <v>6</v>
      </c>
      <c r="O20" s="2">
        <v>6</v>
      </c>
      <c r="P20" s="2">
        <v>6</v>
      </c>
      <c r="Q20" s="2">
        <v>6</v>
      </c>
    </row>
    <row r="21" spans="1:17" ht="15">
      <c r="A21" t="s">
        <v>36</v>
      </c>
      <c r="B21" s="2">
        <v>0.39988205900000001</v>
      </c>
      <c r="C21" s="2">
        <v>0.39071565400000002</v>
      </c>
      <c r="D21" s="2">
        <v>0.38644047100000001</v>
      </c>
      <c r="E21" s="2">
        <f>MEDIAN(B21:D21)</f>
        <v>0.39071565400000002</v>
      </c>
      <c r="F21" s="2">
        <f>MIN(B21:D21)</f>
        <v>0.38644047100000001</v>
      </c>
      <c r="H21" s="4">
        <v>0.41634154051665301</v>
      </c>
      <c r="J21" s="2">
        <v>4</v>
      </c>
      <c r="K21" s="2">
        <v>4</v>
      </c>
      <c r="L21" s="2">
        <v>4</v>
      </c>
      <c r="M21" s="2">
        <v>4</v>
      </c>
      <c r="N21" s="2">
        <v>3</v>
      </c>
      <c r="O21" s="2">
        <v>4</v>
      </c>
      <c r="P21" s="2">
        <v>3</v>
      </c>
      <c r="Q21" s="2">
        <v>4</v>
      </c>
    </row>
    <row r="22" spans="1:17" ht="15">
      <c r="A22" t="s">
        <v>37</v>
      </c>
      <c r="B22" s="2">
        <v>0.63123751900000002</v>
      </c>
      <c r="C22" s="2">
        <v>0.35932551000000001</v>
      </c>
      <c r="D22" s="2">
        <v>0.36934175699999999</v>
      </c>
      <c r="E22" s="2">
        <f t="shared" si="0"/>
        <v>0.36934175699999999</v>
      </c>
      <c r="F22" s="2">
        <f t="shared" si="1"/>
        <v>0.35932551000000001</v>
      </c>
      <c r="H22" s="4">
        <v>0.64642048438662203</v>
      </c>
      <c r="J22" s="2">
        <v>7</v>
      </c>
      <c r="K22" s="2">
        <v>7</v>
      </c>
      <c r="L22" s="2">
        <v>6</v>
      </c>
      <c r="M22" s="2">
        <v>6</v>
      </c>
      <c r="N22" s="2">
        <v>6</v>
      </c>
      <c r="O22" s="2">
        <v>6</v>
      </c>
      <c r="P22" s="2">
        <v>8</v>
      </c>
      <c r="Q22" s="2">
        <v>7</v>
      </c>
    </row>
    <row r="23" spans="1:17" ht="15">
      <c r="A23" t="s">
        <v>38</v>
      </c>
      <c r="B23" s="2">
        <v>0.35872341600000002</v>
      </c>
      <c r="C23" s="2">
        <v>0.395898009</v>
      </c>
      <c r="D23" s="2">
        <v>0.35192658399999999</v>
      </c>
      <c r="E23" s="2">
        <f t="shared" si="0"/>
        <v>0.35872341600000002</v>
      </c>
      <c r="F23" s="2">
        <f t="shared" si="1"/>
        <v>0.35192658399999999</v>
      </c>
      <c r="H23" s="4">
        <v>0.411553538906406</v>
      </c>
      <c r="J23" s="2">
        <v>5</v>
      </c>
      <c r="K23" s="2">
        <v>10</v>
      </c>
      <c r="L23" s="2">
        <v>10</v>
      </c>
      <c r="M23" s="2">
        <v>5</v>
      </c>
      <c r="N23" s="2">
        <v>6</v>
      </c>
      <c r="O23" s="2">
        <v>5</v>
      </c>
      <c r="P23" s="2">
        <v>6</v>
      </c>
      <c r="Q23" s="2">
        <v>6</v>
      </c>
    </row>
    <row r="24" spans="1:17" ht="15">
      <c r="A24" t="s">
        <v>39</v>
      </c>
      <c r="B24" s="2">
        <v>1.2583132429999999</v>
      </c>
      <c r="C24" s="2">
        <v>1.2583132429999999</v>
      </c>
      <c r="D24" s="2">
        <v>1.2583132429999999</v>
      </c>
      <c r="E24" s="2">
        <f t="shared" si="0"/>
        <v>1.2583132429999999</v>
      </c>
      <c r="F24" s="2">
        <f t="shared" si="1"/>
        <v>1.2583132429999999</v>
      </c>
      <c r="H24" s="4">
        <v>1.25831324316183</v>
      </c>
      <c r="J24" s="2">
        <v>10</v>
      </c>
      <c r="K24" s="2">
        <v>10</v>
      </c>
      <c r="L24" s="2">
        <v>10</v>
      </c>
      <c r="M24" s="2">
        <v>10</v>
      </c>
      <c r="N24" s="2">
        <v>10</v>
      </c>
      <c r="O24" s="2">
        <v>10</v>
      </c>
      <c r="P24" s="2">
        <v>10</v>
      </c>
      <c r="Q24" s="2">
        <v>10</v>
      </c>
    </row>
  </sheetData>
  <mergeCells count="2">
    <mergeCell ref="B1:F1"/>
    <mergeCell ref="J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O'Neill, Brian C. Prof.</dc:creator>
  <cp:keywords/>
  <dc:description/>
  <cp:lastModifiedBy>Galligan, Brady M.</cp:lastModifiedBy>
  <cp:revision/>
  <dcterms:created xsi:type="dcterms:W3CDTF">2023-10-06T18:37:13Z</dcterms:created>
  <dcterms:modified xsi:type="dcterms:W3CDTF">2026-03-08T03:25:05Z</dcterms:modified>
  <cp:category/>
  <cp:contentStatus/>
</cp:coreProperties>
</file>